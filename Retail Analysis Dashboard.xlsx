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83359b3b55622f2/Documents/"/>
    </mc:Choice>
  </mc:AlternateContent>
  <xr:revisionPtr revIDLastSave="25" documentId="8_{40457A7F-C59C-4F81-ABA6-8003E1176469}" xr6:coauthVersionLast="47" xr6:coauthVersionMax="47" xr10:uidLastSave="{E65DCB84-9BF6-4491-9F09-7D5E4E2F7C1D}"/>
  <bookViews>
    <workbookView xWindow="-108" yWindow="-108" windowWidth="23256" windowHeight="12456" tabRatio="769" firstSheet="2" activeTab="5" xr2:uid="{B05882FC-C1DF-439C-B891-69B51F2C703A}"/>
  </bookViews>
  <sheets>
    <sheet name="Category_sales" sheetId="1" r:id="rId1"/>
    <sheet name="Monthly_sales" sheetId="2" r:id="rId2"/>
    <sheet name="region_sales" sheetId="3" r:id="rId3"/>
    <sheet name="discount_revenue" sheetId="4" r:id="rId4"/>
    <sheet name="subcategory_sales" sheetId="5" r:id="rId5"/>
    <sheet name="Dashboard" sheetId="6" r:id="rId6"/>
  </sheets>
  <definedNames>
    <definedName name="category_sales" localSheetId="0">Category_sales!$A$1:$B$4</definedName>
    <definedName name="discount_revenue" localSheetId="3">discount_revenue!$A$1:$B$5</definedName>
    <definedName name="monthly_sales_1" localSheetId="1">Monthly_sales!$A$2:$C$14</definedName>
    <definedName name="region_sales" localSheetId="2">region_sales!$A$1:$B$5</definedName>
    <definedName name="subcategory_sales" localSheetId="4">subcategory_sales!$A$1:$B$6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6" l="1"/>
  <c r="B4" i="6"/>
  <c r="E4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B730FEF-FF3A-4B79-AFE3-8B165EEE49CF}" name="category_sales" type="6" refreshedVersion="8" background="1" saveData="1">
    <textPr codePage="437" sourceFile="C:\Users\DHARSHAN\Downloads\ml-25m\ml-25m\category_sales.csv" comma="1">
      <textFields count="2">
        <textField/>
        <textField/>
      </textFields>
    </textPr>
  </connection>
  <connection id="2" xr16:uid="{0D95F92B-35AE-458E-9030-D95127128CD1}" name="discount_revenue" type="6" refreshedVersion="8" background="1" saveData="1">
    <textPr codePage="437" sourceFile="C:\Users\DHARSHAN\Downloads\ml-25m\ml-25m\discount_revenue.csv" comma="1">
      <textFields count="4">
        <textField/>
        <textField/>
        <textField/>
        <textField/>
      </textFields>
    </textPr>
  </connection>
  <connection id="3" xr16:uid="{6738F2EF-28BE-4C77-90A8-78BA1235E129}" name="monthly_sales" type="6" refreshedVersion="8" background="1" saveData="1">
    <textPr codePage="437" sourceFile="C:\Users\DHARSHAN\Downloads\ml-25m\ml-25m\monthly_sales.csv" comma="1">
      <textFields count="3">
        <textField/>
        <textField/>
        <textField/>
      </textFields>
    </textPr>
  </connection>
  <connection id="4" xr16:uid="{0E9F3B9B-7021-4C96-BE83-85D2F7253A28}" name="region_sales" type="6" refreshedVersion="8" background="1" saveData="1">
    <textPr codePage="437" sourceFile="C:\Users\DHARSHAN\Downloads\ml-25m\ml-25m\region_sales.csv" comma="1">
      <textFields count="3">
        <textField/>
        <textField/>
        <textField/>
      </textFields>
    </textPr>
  </connection>
  <connection id="5" xr16:uid="{7CFB4F20-BA5D-47E7-83C6-5629F25B89FA}" name="subcategory_sales" type="6" refreshedVersion="8" background="1" saveData="1">
    <textPr codePage="437" sourceFile="C:\Users\DHARSHAN\Downloads\ml-25m\ml-25m\subcategory_sales.csv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<sst xmlns="http://schemas.openxmlformats.org/spreadsheetml/2006/main" count="44" uniqueCount="39">
  <si>
    <t>category</t>
  </si>
  <si>
    <t>total_sales</t>
  </si>
  <si>
    <t>Technology</t>
  </si>
  <si>
    <t>Furniture</t>
  </si>
  <si>
    <t>Office Supplies</t>
  </si>
  <si>
    <t>month_num</t>
  </si>
  <si>
    <t>month_name</t>
  </si>
  <si>
    <t xml:space="preserve">January  </t>
  </si>
  <si>
    <t xml:space="preserve">February </t>
  </si>
  <si>
    <t xml:space="preserve">March    </t>
  </si>
  <si>
    <t xml:space="preserve">April    </t>
  </si>
  <si>
    <t xml:space="preserve">May      </t>
  </si>
  <si>
    <t xml:space="preserve">June     </t>
  </si>
  <si>
    <t xml:space="preserve">July     </t>
  </si>
  <si>
    <t xml:space="preserve">August   </t>
  </si>
  <si>
    <t>September</t>
  </si>
  <si>
    <t xml:space="preserve">October  </t>
  </si>
  <si>
    <t xml:space="preserve">November </t>
  </si>
  <si>
    <t xml:space="preserve">December </t>
  </si>
  <si>
    <t>region</t>
  </si>
  <si>
    <t>total_orders</t>
  </si>
  <si>
    <t>West</t>
  </si>
  <si>
    <t>East</t>
  </si>
  <si>
    <t>Central</t>
  </si>
  <si>
    <t>South</t>
  </si>
  <si>
    <t>discount</t>
  </si>
  <si>
    <t>avg_sale_per_order</t>
  </si>
  <si>
    <t>sub_category</t>
  </si>
  <si>
    <t>Chairs</t>
  </si>
  <si>
    <t>Phones</t>
  </si>
  <si>
    <t>Tables</t>
  </si>
  <si>
    <t>Storage</t>
  </si>
  <si>
    <t>Binders</t>
  </si>
  <si>
    <t>Retail Sales Analysis Dashboard</t>
  </si>
  <si>
    <t>Total  Sales</t>
  </si>
  <si>
    <t>Total Orders</t>
  </si>
  <si>
    <t>Top Region</t>
  </si>
  <si>
    <t>Peak Month</t>
  </si>
  <si>
    <t>October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</si>
</sst>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1009]* #,##0.00_-;\-[$$-1009]* #,##0.00_-;_-[$$-1009]* &quot;-&quot;??_-;_-@_-"/>
  </numFmts>
  <fonts count="3" x14ac:knownFonts="1">
    <font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Category_sales!$B$1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Category_sales!$A$2:$A$4</c:f>
              <c:strCache>
                <c:ptCount val="3"/>
                <c:pt idx="0">
                  <c:v>Technology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Category_sales!$B$2:$B$4</c:f>
              <c:numCache>
                <c:formatCode>General</c:formatCode>
                <c:ptCount val="3"/>
                <c:pt idx="0">
                  <c:v>4080330</c:v>
                </c:pt>
                <c:pt idx="1">
                  <c:v>3857390</c:v>
                </c:pt>
                <c:pt idx="2">
                  <c:v>3547450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E4-4F5B-BFBB-AD1C8F63D0D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16101087"/>
        <c:axId val="1016101567"/>
      </c:barChart>
      <c:catAx>
        <c:axId val="1016101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101567"/>
        <c:crosses val="autoZero"/>
        <c:auto val="1"/>
        <c:lblAlgn val="ctr"/>
        <c:lblOffset val="100"/>
        <c:noMultiLvlLbl val="0"/>
      </c:catAx>
      <c:valAx>
        <c:axId val="101610156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1010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2">
          <a:lumMod val="9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258092738407698"/>
          <c:y val="0.1115277777777778"/>
          <c:w val="0.8396412948381452"/>
          <c:h val="0.60673009623797025"/>
        </c:manualLayout>
      </c:layout>
      <c:lineChart>
        <c:grouping val="standard"/>
        <c:varyColors val="0"/>
        <c:ser>
          <c:idx val="0"/>
          <c:order val="0"/>
          <c:tx>
            <c:strRef>
              <c:f>Monthly_sales!$C$2</c:f>
              <c:strCache>
                <c:ptCount val="1"/>
                <c:pt idx="0">
                  <c:v>total_sales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Monthly_sales!$B$3:$B$14</c:f>
              <c:strCache>
                <c:ptCount val="12"/>
                <c:pt idx="0">
                  <c:v>January  </c:v>
                </c:pt>
                <c:pt idx="1">
                  <c:v>February </c:v>
                </c:pt>
                <c:pt idx="2">
                  <c:v>March    </c:v>
                </c:pt>
                <c:pt idx="3">
                  <c:v>April    </c:v>
                </c:pt>
                <c:pt idx="4">
                  <c:v>May      </c:v>
                </c:pt>
                <c:pt idx="5">
                  <c:v>June     </c:v>
                </c:pt>
                <c:pt idx="6">
                  <c:v>July     </c:v>
                </c:pt>
                <c:pt idx="7">
                  <c:v>August   </c:v>
                </c:pt>
                <c:pt idx="8">
                  <c:v>September</c:v>
                </c:pt>
                <c:pt idx="9">
                  <c:v>October  </c:v>
                </c:pt>
                <c:pt idx="10">
                  <c:v>November </c:v>
                </c:pt>
                <c:pt idx="11">
                  <c:v>December </c:v>
                </c:pt>
              </c:strCache>
            </c:strRef>
          </c:cat>
          <c:val>
            <c:numRef>
              <c:f>Monthly_sales!$C$3:$C$14</c:f>
              <c:numCache>
                <c:formatCode>General</c:formatCode>
                <c:ptCount val="12"/>
                <c:pt idx="0">
                  <c:v>903580</c:v>
                </c:pt>
                <c:pt idx="1">
                  <c:v>1219580</c:v>
                </c:pt>
                <c:pt idx="2">
                  <c:v>815300</c:v>
                </c:pt>
                <c:pt idx="3">
                  <c:v>1057290</c:v>
                </c:pt>
                <c:pt idx="4">
                  <c:v>853950</c:v>
                </c:pt>
                <c:pt idx="5">
                  <c:v>824040</c:v>
                </c:pt>
                <c:pt idx="6">
                  <c:v>825820</c:v>
                </c:pt>
                <c:pt idx="7">
                  <c:v>1035790</c:v>
                </c:pt>
                <c:pt idx="8">
                  <c:v>884950</c:v>
                </c:pt>
                <c:pt idx="9">
                  <c:v>1275670</c:v>
                </c:pt>
                <c:pt idx="10">
                  <c:v>816550</c:v>
                </c:pt>
                <c:pt idx="11">
                  <c:v>972650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BF-4EBB-80B6-014504E15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19172767"/>
        <c:axId val="1019174687"/>
      </c:lineChart>
      <c:catAx>
        <c:axId val="10191727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174687"/>
        <c:crosses val="autoZero"/>
        <c:auto val="1"/>
        <c:lblAlgn val="ctr"/>
        <c:lblOffset val="100"/>
        <c:noMultiLvlLbl val="0"/>
      </c:catAx>
      <c:valAx>
        <c:axId val="1019174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9172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region_sales!$B$1</c:f>
              <c:strCache>
                <c:ptCount val="1"/>
                <c:pt idx="0">
                  <c:v>total_sales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54D-467A-9826-111C15E1094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54D-467A-9826-111C15E1094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54D-467A-9826-111C15E1094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254D-467A-9826-111C15E1094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region_sales!$A$2:$A$5</c:f>
              <c:strCache>
                <c:ptCount val="4"/>
                <c:pt idx="0">
                  <c:v>West</c:v>
                </c:pt>
                <c:pt idx="1">
                  <c:v>East</c:v>
                </c:pt>
                <c:pt idx="2">
                  <c:v>Central</c:v>
                </c:pt>
                <c:pt idx="3">
                  <c:v>South</c:v>
                </c:pt>
              </c:strCache>
            </c:strRef>
          </c:cat>
          <c:val>
            <c:numRef>
              <c:f>region_sales!$B$2:$B$5</c:f>
              <c:numCache>
                <c:formatCode>General</c:formatCode>
                <c:ptCount val="4"/>
                <c:pt idx="0">
                  <c:v>3594450</c:v>
                </c:pt>
                <c:pt idx="1">
                  <c:v>3378470</c:v>
                </c:pt>
                <c:pt idx="2">
                  <c:v>2475030</c:v>
                </c:pt>
                <c:pt idx="3">
                  <c:v>2037220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54D-467A-9826-111C15E1094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Top</a:t>
            </a:r>
            <a:r>
              <a:rPr lang="en-IN" baseline="0"/>
              <a:t> 5 Sub-categories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8.7412492610002279E-2"/>
          <c:y val="7.4982850256074554E-2"/>
          <c:w val="0.82277717597913669"/>
          <c:h val="0.8401071900508975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subcategory_sales!$B$1</c:f>
              <c:strCache>
                <c:ptCount val="1"/>
                <c:pt idx="0">
                  <c:v>total_sales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subcategory_sales!$A$2:$A$6</c:f>
              <c:strCache>
                <c:ptCount val="5"/>
                <c:pt idx="0">
                  <c:v>Chairs</c:v>
                </c:pt>
                <c:pt idx="1">
                  <c:v>Phones</c:v>
                </c:pt>
                <c:pt idx="2">
                  <c:v>Tables</c:v>
                </c:pt>
                <c:pt idx="3">
                  <c:v>Storage</c:v>
                </c:pt>
                <c:pt idx="4">
                  <c:v>Binders</c:v>
                </c:pt>
              </c:strCache>
            </c:strRef>
          </c:cat>
          <c:val>
            <c:numRef>
              <c:f>subcategory_sales!$B$2:$B$6</c:f>
              <c:numCache>
                <c:formatCode>General</c:formatCode>
                <c:ptCount val="5"/>
                <c:pt idx="0">
                  <c:v>1662040</c:v>
                </c:pt>
                <c:pt idx="1">
                  <c:v>1628320</c:v>
                </c:pt>
                <c:pt idx="2">
                  <c:v>1144370</c:v>
                </c:pt>
                <c:pt idx="3">
                  <c:v>1098510</c:v>
                </c:pt>
                <c:pt idx="4">
                  <c:v>1012450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DEF-4AEA-96E8-8FE750A149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18574431"/>
        <c:axId val="918574911"/>
      </c:barChart>
      <c:catAx>
        <c:axId val="9185744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574911"/>
        <c:crosses val="autoZero"/>
        <c:auto val="1"/>
        <c:lblAlgn val="ctr"/>
        <c:lblOffset val="100"/>
        <c:noMultiLvlLbl val="0"/>
      </c:catAx>
      <c:valAx>
        <c:axId val="918574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8574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Discount Vs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0"/>
          <c:tx>
            <c:strRef>
              <c:f>discount_revenue!$B$1</c:f>
              <c:strCache>
                <c:ptCount val="1"/>
                <c:pt idx="0">
                  <c:v>avg_sale_per_order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discount_revenue!$B$2:$B$5</c:f>
              <c:numCache>
                <c:formatCode>General</c:formatCode>
                <c:ptCount val="4"/>
                <c:pt idx="0">
                  <c:v>1137.3599999999999</c:v>
                </c:pt>
                <c:pt idx="1">
                  <c:v>1207.29</c:v>
                </c:pt>
                <c:pt idx="2">
                  <c:v>1206.69</c:v>
                </c:pt>
                <c:pt idx="3">
                  <c:v>1293.7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26-462F-A127-45D3858BF3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16115967"/>
        <c:axId val="1016115007"/>
      </c:barChart>
      <c:catAx>
        <c:axId val="101611596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115007"/>
        <c:crosses val="autoZero"/>
        <c:auto val="1"/>
        <c:lblAlgn val="ctr"/>
        <c:lblOffset val="100"/>
        <c:noMultiLvlLbl val="0"/>
      </c:catAx>
      <c:valAx>
        <c:axId val="10161150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115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163168</xdr:rowOff>
    </xdr:from>
    <xdr:to>
      <xdr:col>7</xdr:col>
      <xdr:colOff>456178</xdr:colOff>
      <xdr:row>21</xdr:row>
      <xdr:rowOff>163168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8619CC-E2EA-62CC-1A1B-68C99FBAD5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426574</xdr:colOff>
      <xdr:row>6</xdr:row>
      <xdr:rowOff>161050</xdr:rowOff>
    </xdr:from>
    <xdr:to>
      <xdr:col>15</xdr:col>
      <xdr:colOff>419769</xdr:colOff>
      <xdr:row>21</xdr:row>
      <xdr:rowOff>174681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DBF08135-11A3-ED41-FC64-15550C7CE7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3565</xdr:colOff>
      <xdr:row>21</xdr:row>
      <xdr:rowOff>157748</xdr:rowOff>
    </xdr:from>
    <xdr:to>
      <xdr:col>7</xdr:col>
      <xdr:colOff>409965</xdr:colOff>
      <xdr:row>36</xdr:row>
      <xdr:rowOff>72189</xdr:rowOff>
    </xdr:to>
    <xdr:graphicFrame macro="">
      <xdr:nvGraphicFramePr>
        <xdr:cNvPr id="4" name="Chart 1">
          <a:extLst>
            <a:ext uri="{FF2B5EF4-FFF2-40B4-BE49-F238E27FC236}">
              <a16:creationId xmlns:a16="http://schemas.microsoft.com/office/drawing/2014/main" id="{5F5DE679-FB20-F93A-D6BE-66A950BBD3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13780</xdr:colOff>
      <xdr:row>36</xdr:row>
      <xdr:rowOff>74156</xdr:rowOff>
    </xdr:from>
    <xdr:to>
      <xdr:col>15</xdr:col>
      <xdr:colOff>495967</xdr:colOff>
      <xdr:row>50</xdr:row>
      <xdr:rowOff>177267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6C7DDED3-D604-2326-A617-E51ADB88A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411454</xdr:colOff>
      <xdr:row>21</xdr:row>
      <xdr:rowOff>164617</xdr:rowOff>
    </xdr:from>
    <xdr:to>
      <xdr:col>15</xdr:col>
      <xdr:colOff>430464</xdr:colOff>
      <xdr:row>36</xdr:row>
      <xdr:rowOff>93579</xdr:rowOff>
    </xdr:to>
    <xdr:graphicFrame macro="">
      <xdr:nvGraphicFramePr>
        <xdr:cNvPr id="6" name="Chart 1">
          <a:extLst>
            <a:ext uri="{FF2B5EF4-FFF2-40B4-BE49-F238E27FC236}">
              <a16:creationId xmlns:a16="http://schemas.microsoft.com/office/drawing/2014/main" id="{9EDA768F-BCBC-0065-8E13-6C31CE7152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ategory_sales" connectionId="1" xr16:uid="{7AB49DDE-4126-491B-AA88-8951E4917B45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onthly_sales_1" connectionId="3" xr16:uid="{385D91F7-C468-49ED-B369-834D17654061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gion_sales" connectionId="4" xr16:uid="{44C4D622-95B0-4FB1-8D6B-59F18D4CBC98}" autoFormatId="16" applyNumberFormats="0" applyBorderFormats="0" applyFontFormats="0" applyPatternFormats="0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scount_revenue" connectionId="2" xr16:uid="{CB3C670D-E38F-4BA9-BCDD-71255670296F}" autoFormatId="16" applyNumberFormats="0" applyBorderFormats="0" applyFontFormats="0" applyPatternFormats="0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bcategory_sales" connectionId="5" xr16:uid="{9071B745-6151-4B53-9C53-78371435E74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40A51-4F1A-40C0-89E8-F825987E8AAF}">
  <dimension ref="A1:B4"/>
  <sheetViews>
    <sheetView workbookViewId="0">
      <selection sqref="A1:B4"/>
    </sheetView>
  </sheetViews>
  <sheetFormatPr defaultRowHeight="14.4" x14ac:dyDescent="0.3"/>
  <cols>
    <col min="1" max="1" width="13.109375" bestFit="1" customWidth="1"/>
    <col min="2" max="2" width="9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4080330</v>
      </c>
    </row>
    <row r="3" spans="1:2" x14ac:dyDescent="0.3">
      <c r="A3" t="s">
        <v>3</v>
      </c>
      <c r="B3">
        <v>3857390</v>
      </c>
    </row>
    <row r="4" spans="1:2" x14ac:dyDescent="0.3">
      <c r="A4" t="s">
        <v>4</v>
      </c>
      <c r="B4">
        <v>3547450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DC688-C29F-40CB-B93B-A1CFCD9A6669}">
  <dimension ref="A2:C14"/>
  <sheetViews>
    <sheetView workbookViewId="0">
      <selection activeCell="B2" sqref="B2:C14"/>
    </sheetView>
  </sheetViews>
  <sheetFormatPr defaultRowHeight="14.4" x14ac:dyDescent="0.3"/>
  <cols>
    <col min="1" max="1" width="10.44140625" bestFit="1" customWidth="1"/>
    <col min="2" max="2" width="11.44140625" bestFit="1" customWidth="1"/>
    <col min="3" max="3" width="9.5546875" bestFit="1" customWidth="1"/>
  </cols>
  <sheetData>
    <row r="2" spans="1:3" x14ac:dyDescent="0.3">
      <c r="A2" t="s">
        <v>5</v>
      </c>
      <c r="B2" t="s">
        <v>6</v>
      </c>
      <c r="C2" t="s">
        <v>1</v>
      </c>
    </row>
    <row r="3" spans="1:3" x14ac:dyDescent="0.3">
      <c r="A3">
        <v>1</v>
      </c>
      <c r="B3" t="s">
        <v>7</v>
      </c>
      <c r="C3">
        <v>903580</v>
      </c>
    </row>
    <row r="4" spans="1:3" x14ac:dyDescent="0.3">
      <c r="A4">
        <v>2</v>
      </c>
      <c r="B4" t="s">
        <v>8</v>
      </c>
      <c r="C4">
        <v>1219580</v>
      </c>
    </row>
    <row r="5" spans="1:3" x14ac:dyDescent="0.3">
      <c r="A5">
        <v>3</v>
      </c>
      <c r="B5" t="s">
        <v>9</v>
      </c>
      <c r="C5">
        <v>815300</v>
      </c>
    </row>
    <row r="6" spans="1:3" x14ac:dyDescent="0.3">
      <c r="A6">
        <v>4</v>
      </c>
      <c r="B6" t="s">
        <v>10</v>
      </c>
      <c r="C6">
        <v>1057290</v>
      </c>
    </row>
    <row r="7" spans="1:3" x14ac:dyDescent="0.3">
      <c r="A7">
        <v>5</v>
      </c>
      <c r="B7" t="s">
        <v>11</v>
      </c>
      <c r="C7">
        <v>853950</v>
      </c>
    </row>
    <row r="8" spans="1:3" x14ac:dyDescent="0.3">
      <c r="A8">
        <v>6</v>
      </c>
      <c r="B8" t="s">
        <v>12</v>
      </c>
      <c r="C8">
        <v>824040</v>
      </c>
    </row>
    <row r="9" spans="1:3" x14ac:dyDescent="0.3">
      <c r="A9">
        <v>7</v>
      </c>
      <c r="B9" t="s">
        <v>13</v>
      </c>
      <c r="C9">
        <v>825820</v>
      </c>
    </row>
    <row r="10" spans="1:3" x14ac:dyDescent="0.3">
      <c r="A10">
        <v>8</v>
      </c>
      <c r="B10" t="s">
        <v>14</v>
      </c>
      <c r="C10">
        <v>1035790</v>
      </c>
    </row>
    <row r="11" spans="1:3" x14ac:dyDescent="0.3">
      <c r="A11">
        <v>9</v>
      </c>
      <c r="B11" t="s">
        <v>15</v>
      </c>
      <c r="C11">
        <v>884950</v>
      </c>
    </row>
    <row r="12" spans="1:3" x14ac:dyDescent="0.3">
      <c r="A12">
        <v>10</v>
      </c>
      <c r="B12" t="s">
        <v>16</v>
      </c>
      <c r="C12">
        <v>1275670</v>
      </c>
    </row>
    <row r="13" spans="1:3" x14ac:dyDescent="0.3">
      <c r="A13">
        <v>11</v>
      </c>
      <c r="B13" t="s">
        <v>17</v>
      </c>
      <c r="C13">
        <v>816550</v>
      </c>
    </row>
    <row r="14" spans="1:3" x14ac:dyDescent="0.3">
      <c r="A14">
        <v>12</v>
      </c>
      <c r="B14" t="s">
        <v>18</v>
      </c>
      <c r="C14">
        <v>972650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800AE-BAF8-4C8C-89B6-0DBEE780BAB6}">
  <dimension ref="A1:C5"/>
  <sheetViews>
    <sheetView workbookViewId="0">
      <selection sqref="A1:C5"/>
    </sheetView>
  </sheetViews>
  <sheetFormatPr defaultRowHeight="14.4" x14ac:dyDescent="0.3"/>
  <cols>
    <col min="1" max="1" width="6.88671875" bestFit="1" customWidth="1"/>
    <col min="2" max="2" width="10.5546875" bestFit="1" customWidth="1"/>
    <col min="3" max="3" width="9.5546875" bestFit="1" customWidth="1"/>
  </cols>
  <sheetData>
    <row r="1" spans="1:3" x14ac:dyDescent="0.3">
      <c r="A1" t="s">
        <v>19</v>
      </c>
      <c r="B1" t="s">
        <v>1</v>
      </c>
      <c r="C1" t="s">
        <v>20</v>
      </c>
    </row>
    <row r="2" spans="1:3" x14ac:dyDescent="0.3">
      <c r="A2" t="s">
        <v>21</v>
      </c>
      <c r="B2">
        <v>3594450</v>
      </c>
      <c r="C2">
        <v>3106</v>
      </c>
    </row>
    <row r="3" spans="1:3" x14ac:dyDescent="0.3">
      <c r="A3" t="s">
        <v>22</v>
      </c>
      <c r="B3">
        <v>3378470</v>
      </c>
      <c r="C3">
        <v>2713</v>
      </c>
    </row>
    <row r="4" spans="1:3" x14ac:dyDescent="0.3">
      <c r="A4" t="s">
        <v>23</v>
      </c>
      <c r="B4">
        <v>2475030</v>
      </c>
      <c r="C4">
        <v>2145</v>
      </c>
    </row>
    <row r="5" spans="1:3" x14ac:dyDescent="0.3">
      <c r="A5" t="s">
        <v>24</v>
      </c>
      <c r="B5">
        <v>2037220</v>
      </c>
      <c r="C5">
        <v>1523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1B5A2-70EE-40E5-B30C-81C4788B9CD6}">
  <dimension ref="A1:D5"/>
  <sheetViews>
    <sheetView workbookViewId="0">
      <selection sqref="A1:B5"/>
    </sheetView>
  </sheetViews>
  <sheetFormatPr defaultRowHeight="14.4" x14ac:dyDescent="0.3"/>
  <cols>
    <col min="1" max="1" width="9.33203125" customWidth="1"/>
    <col min="2" max="2" width="16.44140625" bestFit="1" customWidth="1"/>
    <col min="3" max="3" width="9.5546875" bestFit="1" customWidth="1"/>
    <col min="4" max="4" width="10.5546875" bestFit="1" customWidth="1"/>
  </cols>
  <sheetData>
    <row r="1" spans="1:4" x14ac:dyDescent="0.3">
      <c r="A1" t="s">
        <v>25</v>
      </c>
      <c r="B1" t="s">
        <v>26</v>
      </c>
      <c r="C1" t="s">
        <v>1</v>
      </c>
      <c r="D1" t="s">
        <v>20</v>
      </c>
    </row>
    <row r="2" spans="1:4" x14ac:dyDescent="0.3">
      <c r="A2">
        <v>2</v>
      </c>
      <c r="B2">
        <v>1137.3599999999999</v>
      </c>
      <c r="C2">
        <v>2721700</v>
      </c>
      <c r="D2">
        <v>2393</v>
      </c>
    </row>
    <row r="3" spans="1:4" x14ac:dyDescent="0.3">
      <c r="A3">
        <v>3</v>
      </c>
      <c r="B3">
        <v>1207.29</v>
      </c>
      <c r="C3">
        <v>2913190</v>
      </c>
      <c r="D3">
        <v>2413</v>
      </c>
    </row>
    <row r="4" spans="1:4" x14ac:dyDescent="0.3">
      <c r="A4">
        <v>4</v>
      </c>
      <c r="B4">
        <v>1206.69</v>
      </c>
      <c r="C4">
        <v>2850190</v>
      </c>
      <c r="D4">
        <v>2362</v>
      </c>
    </row>
    <row r="5" spans="1:4" x14ac:dyDescent="0.3">
      <c r="A5">
        <v>5</v>
      </c>
      <c r="B5">
        <v>1293.7</v>
      </c>
      <c r="C5">
        <v>3000090</v>
      </c>
      <c r="D5">
        <v>2319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895B4-C014-41EF-8205-F2CCF60F2D70}">
  <dimension ref="A1:B6"/>
  <sheetViews>
    <sheetView workbookViewId="0">
      <selection sqref="A1:B6"/>
    </sheetView>
  </sheetViews>
  <sheetFormatPr defaultRowHeight="14.4" x14ac:dyDescent="0.3"/>
  <cols>
    <col min="1" max="1" width="11.5546875" bestFit="1" customWidth="1"/>
    <col min="2" max="2" width="9.5546875" bestFit="1" customWidth="1"/>
  </cols>
  <sheetData>
    <row r="1" spans="1:2" x14ac:dyDescent="0.3">
      <c r="A1" t="s">
        <v>27</v>
      </c>
      <c r="B1" t="s">
        <v>1</v>
      </c>
    </row>
    <row r="2" spans="1:2" x14ac:dyDescent="0.3">
      <c r="A2" t="s">
        <v>28</v>
      </c>
      <c r="B2">
        <v>1662040</v>
      </c>
    </row>
    <row r="3" spans="1:2" x14ac:dyDescent="0.3">
      <c r="A3" t="s">
        <v>29</v>
      </c>
      <c r="B3">
        <v>1628320</v>
      </c>
    </row>
    <row r="4" spans="1:2" x14ac:dyDescent="0.3">
      <c r="A4" t="s">
        <v>30</v>
      </c>
      <c r="B4">
        <v>1144370</v>
      </c>
    </row>
    <row r="5" spans="1:2" x14ac:dyDescent="0.3">
      <c r="A5" t="s">
        <v>31</v>
      </c>
      <c r="B5">
        <v>1098510</v>
      </c>
    </row>
    <row r="6" spans="1:2" x14ac:dyDescent="0.3">
      <c r="A6" t="s">
        <v>32</v>
      </c>
      <c r="B6">
        <v>1012450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B5F4C-9251-4985-B2B1-DB0C7C6CA03C}">
  <dimension ref="A1:F4"/>
  <sheetViews>
    <sheetView tabSelected="1" topLeftCell="B1" zoomScale="68" zoomScaleNormal="138" workbookViewId="0">
      <selection activeCell="B3" sqref="B3:C3"/>
    </sheetView>
  </sheetViews>
  <sheetFormatPr defaultRowHeight="14.4" x14ac:dyDescent="0.3"/>
  <cols>
    <col min="1" max="1" width="8.88671875" style="2"/>
    <col min="2" max="2" width="16.6640625" style="2" bestFit="1" customWidth="1"/>
    <col min="3" max="3" width="13.109375" style="2" customWidth="1"/>
    <col min="4" max="4" width="18.44140625" style="2" customWidth="1"/>
    <col min="5" max="5" width="15.109375" style="2" customWidth="1"/>
    <col min="6" max="6" width="16.109375" style="2" customWidth="1"/>
    <col min="7" max="16384" width="8.88671875" style="2"/>
  </cols>
  <sheetData>
    <row r="1" spans="1:6" ht="25.8" x14ac:dyDescent="0.5">
      <c r="A1" s="1" t="s">
        <v>33</v>
      </c>
    </row>
    <row r="3" spans="1:6" x14ac:dyDescent="0.3">
      <c r="B3" s="3" t="s">
        <v>34</v>
      </c>
      <c r="C3" s="4"/>
      <c r="D3" s="5" t="s">
        <v>35</v>
      </c>
      <c r="E3" s="5" t="s">
        <v>36</v>
      </c>
      <c r="F3" s="5" t="s">
        <v>37</v>
      </c>
    </row>
    <row r="4" spans="1:6" x14ac:dyDescent="0.3">
      <c r="B4" s="6">
        <f>SUM(Category_sales!B2:B4)</f>
        <v>11485170</v>
      </c>
      <c r="C4" s="6"/>
      <c r="D4" s="7">
        <f>SUM(region_sales!C2:C5)</f>
        <v>9487</v>
      </c>
      <c r="E4" s="8" t="str">
        <f>region_sales!A2</f>
        <v>West</v>
      </c>
      <c r="F4" s="5" t="s">
        <v>38</v>
      </c>
    </row>
  </sheetData>
  <mergeCells count="2">
    <mergeCell ref="B3:C3"/>
    <mergeCell ref="B4:C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Category_sales</vt:lpstr>
      <vt:lpstr>Monthly_sales</vt:lpstr>
      <vt:lpstr>region_sales</vt:lpstr>
      <vt:lpstr>discount_revenue</vt:lpstr>
      <vt:lpstr>subcategory_sales</vt:lpstr>
      <vt:lpstr>Dashboard</vt:lpstr>
      <vt:lpstr>Category_sales!category_sales</vt:lpstr>
      <vt:lpstr>discount_revenue!discount_revenue</vt:lpstr>
      <vt:lpstr>Monthly_sales!monthly_sales_1</vt:lpstr>
      <vt:lpstr>region_sales!region_sales</vt:lpstr>
      <vt:lpstr>subcategory_sales!subcategory_sales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Dharshan R</dc:creator>
  <cp:lastModifiedBy>Dharshan R</cp:lastModifiedBy>
  <dcterms:created xsi:type="dcterms:W3CDTF">2026-05-28T17:48:41Z</dcterms:created>
  <dcterms:modified xsi:type="dcterms:W3CDTF">2026-05-29T12:53:33Z</dcterms:modified>
</cp:coreProperties>
</file>